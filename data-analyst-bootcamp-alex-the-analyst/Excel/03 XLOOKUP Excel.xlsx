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File\freelance\0 alex the analyst\Excel\"/>
    </mc:Choice>
  </mc:AlternateContent>
  <xr:revisionPtr revIDLastSave="0" documentId="13_ncr:1_{D07F13F6-96EA-478B-9857-FE30FD973DFD}" xr6:coauthVersionLast="47" xr6:coauthVersionMax="47" xr10:uidLastSave="{00000000-0000-0000-0000-000000000000}"/>
  <bookViews>
    <workbookView xWindow="10718" yWindow="0" windowWidth="10965" windowHeight="12863" firstSheet="5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2" i="7" a="1"/>
  <c r="B2" i="7" s="1"/>
  <c r="B2" i="4" a="1"/>
  <c r="B2" i="4" s="1"/>
  <c r="B5" i="9"/>
  <c r="B4" i="9"/>
  <c r="B3" i="9"/>
  <c r="B9" i="8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<sst xmlns="http://schemas.openxmlformats.org/spreadsheetml/2006/main" count="490" uniqueCount="95">
  <si>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</si>
  <si>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</si>
  <si>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</si>
  <si>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</si>
  <si>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</si>
  <si>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</si>
  <si>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</si>
  <si>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</si>
  <si>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</si>
  <si>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</si>
  <si>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</si>
  <si>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</si>
  <si>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</si>
  <si>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</si>
  <si>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</si>
  <si>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</si>
  <si>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</si>
  <si>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</si>
  <si>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</si>
  <si>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</si>
  <si>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</si>
  <si>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</si>
  <si>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</si>
  <si>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</si>
  <si>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</si>
  <si>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</si>
  <si>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</si>
  <si>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</si>
  <si>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</si>
  <si>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</si>
  <si>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</si>
  <si>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</si>
  <si>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</si>
  <si>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</si>
  <si>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</si>
  <si>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</si>
  <si>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</si>
  <si>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</si>
  <si>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</si>
  <si>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</si>
  <si>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</si>
  <si>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</si>
  <si>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</si>
  <si>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</si>
  <si>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</si>
  <si>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</si>
  <si>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</si>
  <si>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</si>
  <si>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</si>
  <si>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</si>
  <si>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</si>
  <si>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</si>
  <si>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</si>
  <si>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</si>
  <si>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</si>
  <si>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</si>
  <si>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</si>
  <si>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</si>
  <si>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</si>
  <si>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</si>
  <si>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</si>
  <si>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</si>
  <si>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</si>
  <si>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</si>
  <si>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</si>
  <si>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</si>
  <si>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</si>
  <si>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</si>
  <si>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</si>
  <si>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</si>
  <si>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</si>
  <si>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</si>
  <si>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</si>
  <si>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</si>
  <si>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</si>
  <si>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</si>
  <si>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</si>
  <si>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</si>
  <si>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</si>
  <si>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</si>
  <si>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</si>
  <si>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</si>
  <si>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</si>
  <si>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</si>
  <si>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</si>
  <si>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</si>
  <si>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</si>
  <si>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</si>
  <si>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</si>
  <si>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</si>
  <si>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</si>
  <si>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</si>
  <si>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search from top to last</t>
  </si>
  <si>
    <t>search from last to top</t>
  </si>
  <si>
    <t xml:space="preserve">match the larger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</si>
</sst>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6" sqref="B6"/>
    </sheetView>
  </sheetViews>
  <sheetFormatPr defaultRowHeight="14.25" x14ac:dyDescent="0.45"/>
  <cols>
    <col min="1" max="1" width="14.1328125" bestFit="1" customWidth="1"/>
    <col min="2" max="2" width="24.53125" customWidth="1"/>
    <col min="8" max="8" width="14.6640625" bestFit="1" customWidth="1"/>
    <col min="12" max="12" width="15.796875" bestFit="1" customWidth="1"/>
    <col min="16" max="16" width="40.6640625" bestFit="1" customWidth="1"/>
  </cols>
  <sheetData>
    <row r="1" spans="1:16" x14ac:dyDescent="0.4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4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45">
      <c r="A3" t="s">
        <v>65</v>
      </c>
      <c r="B3" t="str">
        <f>_xlfn.XLOOKUP(A3,H$2:H$10,P$2:P$10)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45">
      <c r="A4" t="s">
        <v>62</v>
      </c>
      <c r="B4" t="str">
        <f t="shared" ref="B4:B6" si="0">_xlfn.XLOOKUP(A4,H$2:H$10,P$2:P$10)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4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4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4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4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4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4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45">
      <c r="H22" t="str">
        <f t="shared" ref="H22:H23" si="1">CONCATENATE(F12," ",G12)</f>
        <v xml:space="preserve"> </v>
      </c>
    </row>
    <row r="23" spans="8:8" x14ac:dyDescent="0.4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3" sqref="B3"/>
    </sheetView>
  </sheetViews>
  <sheetFormatPr defaultRowHeight="14.25" x14ac:dyDescent="0.45"/>
  <cols>
    <col min="1" max="1" width="14.6640625" bestFit="1" customWidth="1"/>
    <col min="3" max="3" width="24.53125" customWidth="1"/>
    <col min="9" max="9" width="14.6640625" bestFit="1" customWidth="1"/>
    <col min="12" max="12" width="15.796875" bestFit="1" customWidth="1"/>
    <col min="16" max="16" width="40.6640625" bestFit="1" customWidth="1"/>
  </cols>
  <sheetData>
    <row r="1" spans="1:16" x14ac:dyDescent="0.4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4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45">
      <c r="A3" t="s">
        <v>65</v>
      </c>
      <c r="B3" t="str" cm="1">
        <f t="array" ref="B3:C3">_xlfn.XLOOKUP(A3,I$2:I$10,O$2:P$10)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45">
      <c r="A4" t="s">
        <v>62</v>
      </c>
      <c r="B4" t="str" cm="1">
        <f t="array" ref="B4:C4">_xlfn.XLOOKUP(A4,I$2:I$10,O$2:P$10)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45">
      <c r="A5" t="s">
        <v>67</v>
      </c>
      <c r="B5" t="str" cm="1">
        <f t="array" ref="B5:C5">_xlfn.XLOOKUP(A5,I$2:I$10,O$2:P$10)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45">
      <c r="A6" t="s">
        <v>69</v>
      </c>
      <c r="B6" t="str" cm="1">
        <f t="array" ref="B6:C6">_xlfn.XLOOKUP(A6,I$2:I$10,O$2:P$10)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4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4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4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4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45">
      <c r="I22" t="str">
        <f t="shared" ref="I22:I23" si="0">CONCATENATE(G12," ",H12)</f>
        <v xml:space="preserve"> </v>
      </c>
    </row>
    <row r="23" spans="9:9" x14ac:dyDescent="0.4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9" sqref="B9"/>
    </sheetView>
  </sheetViews>
  <sheetFormatPr defaultRowHeight="14.25" x14ac:dyDescent="0.45"/>
  <cols>
    <col min="1" max="1" width="14.6640625" bestFit="1" customWidth="1"/>
    <col min="2" max="2" width="24.53125" customWidth="1"/>
    <col min="8" max="8" width="14.6640625" bestFit="1" customWidth="1"/>
    <col min="11" max="11" width="15.796875" bestFit="1" customWidth="1"/>
    <col min="15" max="15" width="40.6640625" bestFit="1" customWidth="1"/>
  </cols>
  <sheetData>
    <row r="1" spans="1:15" x14ac:dyDescent="0.4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4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45">
      <c r="A3" t="s">
        <v>86</v>
      </c>
      <c r="B3" t="str">
        <f>_xlfn.XLOOKUP(A3,H$2:H$10,O$2:O$10,"Not Found",2)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45">
      <c r="A4" t="s">
        <v>18</v>
      </c>
      <c r="B4" t="str">
        <f>_xlfn.XLOOKUP("*"&amp;A4,H$2:H$10,O$2:O$10,"Not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45">
      <c r="A5" t="s">
        <v>46</v>
      </c>
      <c r="B5" t="str">
        <f>_xlfn.XLOOKUP(A5&amp;"*",H$2:H$10,O$2:O$10,"Not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45">
      <c r="A6" t="s">
        <v>87</v>
      </c>
      <c r="B6" t="str">
        <f>_xlfn.XLOOKUP(A6&amp;"*",H$2:H$10,O$2:O$10,"Not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4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4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45">
      <c r="A9" t="s">
        <v>86</v>
      </c>
      <c r="B9" t="str">
        <f>_xlfn.XLOOKUP(A9&amp;"*",H$2:H$10,O$2:O$10,"Not Found",2)</f>
        <v>Toby.Flenderson@DunderMifflinCorporate.com</v>
      </c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4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45">
      <c r="H22" t="str">
        <f t="shared" ref="H22:H23" si="0">CONCATENATE(F12," ",G12)</f>
        <v xml:space="preserve"> </v>
      </c>
    </row>
    <row r="23" spans="8:8" x14ac:dyDescent="0.4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C4" sqref="C4"/>
    </sheetView>
  </sheetViews>
  <sheetFormatPr defaultRowHeight="14.25" x14ac:dyDescent="0.45"/>
  <cols>
    <col min="1" max="1" width="14.6640625" bestFit="1" customWidth="1"/>
    <col min="2" max="2" width="14.796875" customWidth="1"/>
    <col min="3" max="3" width="24.53125" customWidth="1"/>
    <col min="9" max="9" width="14.6640625" bestFit="1" customWidth="1"/>
    <col min="12" max="12" width="15.796875" bestFit="1" customWidth="1"/>
    <col min="16" max="16" width="40.6640625" bestFit="1" customWidth="1"/>
  </cols>
  <sheetData>
    <row r="1" spans="1:16" x14ac:dyDescent="0.4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4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45">
      <c r="A3" s="1" t="s">
        <v>90</v>
      </c>
      <c r="B3" t="str">
        <f>_xlfn.XLOOKUP(A3,N2:N10,I2:I10,,1)</f>
        <v>Angela Martin</v>
      </c>
      <c r="C3" t="s">
        <v>94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45">
      <c r="A4" s="1" t="s">
        <v>38</v>
      </c>
      <c r="B4" t="str">
        <f>_xlfn.XLOOKUP(A4,N2:N10,I2:I10,,,1)</f>
        <v>Toby Flenderson</v>
      </c>
      <c r="C4" t="s">
        <v>92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45">
      <c r="A5" s="1" t="s">
        <v>38</v>
      </c>
      <c r="B5" t="str">
        <f>_xlfn.XLOOKUP(A5,N2:N10,I2:I10,,,-1)</f>
        <v>Michael Scott</v>
      </c>
      <c r="C5" t="s">
        <v>93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4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4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4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4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4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45">
      <c r="I22" t="str">
        <f t="shared" ref="I22:I23" si="0">CONCATENATE(G12," ",H12)</f>
        <v xml:space="preserve"> </v>
      </c>
    </row>
    <row r="23" spans="9:9" x14ac:dyDescent="0.4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"/>
    </sheetView>
  </sheetViews>
  <sheetFormatPr defaultColWidth="10.1328125" defaultRowHeight="14.25" x14ac:dyDescent="0.45"/>
  <cols>
    <col min="7" max="7" width="12.1328125" bestFit="1" customWidth="1"/>
  </cols>
  <sheetData>
    <row r="1" spans="1:19" x14ac:dyDescent="0.4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45">
      <c r="A2" t="s">
        <v>70</v>
      </c>
      <c r="B2" cm="1">
        <f t="array" ref="B2:B4">_xlfn.XLOOKUP(I1,H1:S1,H2:S4)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45">
      <c r="A3" t="s">
        <v>71</v>
      </c>
      <c r="B3"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45">
      <c r="A4" t="s">
        <v>84</v>
      </c>
      <c r="B4"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topLeftCell="B1" workbookViewId="0">
      <selection activeCell="B7" sqref="B7"/>
    </sheetView>
  </sheetViews>
  <sheetFormatPr defaultColWidth="10.1328125" defaultRowHeight="14.25" x14ac:dyDescent="0.45"/>
  <cols>
    <col min="7" max="7" width="12.1328125" bestFit="1" customWidth="1"/>
  </cols>
  <sheetData>
    <row r="1" spans="1:19" x14ac:dyDescent="0.4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45">
      <c r="A2" t="s">
        <v>70</v>
      </c>
      <c r="B2" cm="1">
        <f t="array" ref="B2:B4">_xlfn.XLOOKUP(I1,H1:S1,H2:S4)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45">
      <c r="A3" t="s">
        <v>71</v>
      </c>
      <c r="B3"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45">
      <c r="A4" t="s">
        <v>84</v>
      </c>
      <c r="B4"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45">
      <c r="B6" t="s">
        <v>85</v>
      </c>
    </row>
    <row r="7" spans="1:19" x14ac:dyDescent="0.45">
      <c r="A7" t="s">
        <v>70</v>
      </c>
      <c r="B7">
        <f>SUM(_xlfn.XLOOKUP(I1,H1:S1,H2:S2),_xlfn.XLOOKUP(J1,H1:S1,H2:S2))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3" sqref="B3:B5"/>
    </sheetView>
  </sheetViews>
  <sheetFormatPr defaultRowHeight="14.25" x14ac:dyDescent="0.45"/>
  <cols>
    <col min="1" max="1" width="14.46484375" customWidth="1"/>
  </cols>
  <sheetData>
    <row r="1" spans="1:16" x14ac:dyDescent="0.4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4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4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45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4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4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4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4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4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4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Ervina huang</cp:lastModifiedBy>
  <dcterms:created xsi:type="dcterms:W3CDTF">2021-12-20T02:45:32Z</dcterms:created>
  <dcterms:modified xsi:type="dcterms:W3CDTF">2024-11-01T15:47:41Z</dcterms:modified>
</cp:coreProperties>
</file>